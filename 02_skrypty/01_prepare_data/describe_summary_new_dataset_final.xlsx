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ulian\Desktop\studia\economic analytics\Projekt Badawczy - BIK\02_skrypty\01_prepare_data\"/>
    </mc:Choice>
  </mc:AlternateContent>
  <xr:revisionPtr revIDLastSave="0" documentId="8_{F4BE5731-6681-47E6-87E6-3059A0A28437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Sheet1!$A$1:$D$193</definedName>
  </definedNames>
  <calcPr calcId="191029"/>
  <fileRecoveryPr repairLoad="1"/>
</workbook>
</file>

<file path=xl/calcChain.xml><?xml version="1.0" encoding="utf-8"?>
<calcChain xmlns="http://schemas.openxmlformats.org/spreadsheetml/2006/main">
  <c r="D5" i="2" l="1"/>
  <c r="D6" i="2"/>
  <c r="D4" i="2"/>
  <c r="D3" i="2"/>
  <c r="D2" i="2"/>
</calcChain>
</file>

<file path=xl/sharedStrings.xml><?xml version="1.0" encoding="utf-8"?>
<sst xmlns="http://schemas.openxmlformats.org/spreadsheetml/2006/main" count="233" uniqueCount="44">
  <si>
    <t>dataset</t>
  </si>
  <si>
    <t>ID</t>
  </si>
  <si>
    <t>ILE_BANKOW</t>
  </si>
  <si>
    <t>ILE_BANKOW_12</t>
  </si>
  <si>
    <t>ILE_PRODUKTOW</t>
  </si>
  <si>
    <t>ILE_RACH_OTW</t>
  </si>
  <si>
    <t>ILE_RACH_OTW_12</t>
  </si>
  <si>
    <t>ILE_RACH_OTW_NRAT</t>
  </si>
  <si>
    <t>ILE_RACH_OTW_NRAT_12</t>
  </si>
  <si>
    <t>ILE_RACH_OTW_RAT</t>
  </si>
  <si>
    <t>ILE_RACH_OTW_RAT_12</t>
  </si>
  <si>
    <t>ILE_RACH_OTW_BEZ_HIPO</t>
  </si>
  <si>
    <t>ILE_RACH_OTW_KARTY</t>
  </si>
  <si>
    <t>ILE_RACH_OTW_ODNAWIALNE</t>
  </si>
  <si>
    <t>ILE_RACH_ZAMK</t>
  </si>
  <si>
    <t>ILE_ZAPYTAN_12</t>
  </si>
  <si>
    <t>ILE_ZAPYTAN_3</t>
  </si>
  <si>
    <t>ILE_ZAPYTAN_6</t>
  </si>
  <si>
    <t>ILE_ZAPYTAN_9</t>
  </si>
  <si>
    <t>L_RACHUNKOW</t>
  </si>
  <si>
    <t>MAX_WNIOSKODAWCY</t>
  </si>
  <si>
    <t>MIN_L_RAT_DO_SPLATY</t>
  </si>
  <si>
    <t>SUMA_DO_SPLATY_KARTY</t>
  </si>
  <si>
    <t>SUMA_DO_SPLATY_NRAT</t>
  </si>
  <si>
    <t>SUMA_DO_SPLATY_ODNAWIALNE</t>
  </si>
  <si>
    <t>SUMA_LIMIT</t>
  </si>
  <si>
    <t>SUMA_LIMIT_KARTY</t>
  </si>
  <si>
    <t>SUMA_LIMIT_ODNAWIALNE</t>
  </si>
  <si>
    <t>SUMA_NAL_WYMAGAL_KARTY</t>
  </si>
  <si>
    <t>SUMA_NAL_WYMAGAL_NRAT</t>
  </si>
  <si>
    <t>STATUS</t>
  </si>
  <si>
    <t>TERYT</t>
  </si>
  <si>
    <t>WIEK</t>
  </si>
  <si>
    <t>count</t>
  </si>
  <si>
    <t>mean</t>
  </si>
  <si>
    <t>std</t>
  </si>
  <si>
    <t>min</t>
  </si>
  <si>
    <t>50%</t>
  </si>
  <si>
    <t>max</t>
  </si>
  <si>
    <t>new data</t>
  </si>
  <si>
    <t xml:space="preserve">previous dataset </t>
  </si>
  <si>
    <t>previous datasets</t>
  </si>
  <si>
    <t>percent</t>
  </si>
  <si>
    <t>new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</si>
</sst>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38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2" borderId="1" xfId="0" applyFill="1" applyBorder="1"/>
    <xf numFmtId="9" fontId="3" fillId="2" borderId="1" xfId="1" applyFont="1" applyFill="1" applyBorder="1"/>
    <xf numFmtId="0" fontId="0" fillId="3" borderId="1" xfId="0" applyFill="1" applyBorder="1"/>
    <xf numFmtId="9" fontId="3" fillId="3" borderId="1" xfId="1" applyFont="1" applyFill="1" applyBorder="1"/>
    <xf numFmtId="0" fontId="0" fillId="4" borderId="1" xfId="0" applyFill="1" applyBorder="1"/>
    <xf numFmtId="9" fontId="3" fillId="4" borderId="1" xfId="1" applyFont="1" applyFill="1" applyBorder="1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193"/>
  <sheetViews>
    <sheetView tabSelected="1" topLeftCell="A9" workbookViewId="0">
      <selection activeCell="A146" sqref="A146:A151"/>
    </sheetView>
  </sheetViews>
  <sheetFormatPr defaultRowHeight="15" x14ac:dyDescent="0.25"/>
  <cols>
    <col min="1" max="1" width="30.5703125" bestFit="1" customWidth="1"/>
    <col min="3" max="3" width="17.28515625" bestFit="1" customWidth="1"/>
    <col min="4" max="4" width="12" bestFit="1" customWidth="1"/>
  </cols>
  <sheetData>
    <row r="1" spans="1:4" x14ac:dyDescent="0.25">
      <c r="A1" s="1" t="s">
        <v>0</v>
      </c>
      <c r="B1" s="1"/>
      <c r="C1" t="s">
        <v>40</v>
      </c>
      <c r="D1" t="s">
        <v>39</v>
      </c>
    </row>
    <row r="2" spans="1:4" hidden="1" x14ac:dyDescent="0.25">
      <c r="A2" s="12" t="s">
        <v>1</v>
      </c>
      <c r="B2" s="1" t="s">
        <v>33</v>
      </c>
      <c r="C2">
        <v>0</v>
      </c>
      <c r="D2">
        <v>24431</v>
      </c>
    </row>
    <row r="3" spans="1:4" x14ac:dyDescent="0.25">
      <c r="A3" s="12"/>
      <c r="B3" s="1" t="s">
        <v>34</v>
      </c>
      <c r="D3">
        <v>12264.519258319349</v>
      </c>
    </row>
    <row r="4" spans="1:4" hidden="1" x14ac:dyDescent="0.25">
      <c r="A4" s="12"/>
      <c r="B4" s="1" t="s">
        <v>35</v>
      </c>
      <c r="D4">
        <v>7077.6083139395341</v>
      </c>
    </row>
    <row r="5" spans="1:4" hidden="1" x14ac:dyDescent="0.25">
      <c r="A5" s="12"/>
      <c r="B5" s="1" t="s">
        <v>36</v>
      </c>
      <c r="D5">
        <v>1</v>
      </c>
    </row>
    <row r="6" spans="1:4" hidden="1" x14ac:dyDescent="0.25">
      <c r="A6" s="12"/>
      <c r="B6" s="1" t="s">
        <v>37</v>
      </c>
      <c r="D6">
        <v>12269</v>
      </c>
    </row>
    <row r="7" spans="1:4" hidden="1" x14ac:dyDescent="0.25">
      <c r="A7" s="12"/>
      <c r="B7" s="1" t="s">
        <v>38</v>
      </c>
      <c r="D7">
        <v>24515</v>
      </c>
    </row>
    <row r="8" spans="1:4" hidden="1" x14ac:dyDescent="0.25">
      <c r="A8" s="12" t="s">
        <v>2</v>
      </c>
      <c r="B8" s="1" t="s">
        <v>33</v>
      </c>
      <c r="C8">
        <v>14956</v>
      </c>
      <c r="D8">
        <v>24431</v>
      </c>
    </row>
    <row r="9" spans="1:4" x14ac:dyDescent="0.25">
      <c r="A9" s="12"/>
      <c r="B9" s="1" t="s">
        <v>34</v>
      </c>
      <c r="C9">
        <v>1.8813185343674781</v>
      </c>
      <c r="D9">
        <v>1.7472882812819781</v>
      </c>
    </row>
    <row r="10" spans="1:4" hidden="1" x14ac:dyDescent="0.25">
      <c r="A10" s="12"/>
      <c r="B10" s="1" t="s">
        <v>35</v>
      </c>
      <c r="C10">
        <v>1.3874910525222519</v>
      </c>
      <c r="D10">
        <v>1.0193734852550631</v>
      </c>
    </row>
    <row r="11" spans="1:4" hidden="1" x14ac:dyDescent="0.25">
      <c r="A11" s="12"/>
      <c r="B11" s="1" t="s">
        <v>36</v>
      </c>
      <c r="C11">
        <v>0</v>
      </c>
      <c r="D11">
        <v>0</v>
      </c>
    </row>
    <row r="12" spans="1:4" hidden="1" x14ac:dyDescent="0.25">
      <c r="A12" s="12"/>
      <c r="B12" s="1" t="s">
        <v>37</v>
      </c>
      <c r="C12">
        <v>1</v>
      </c>
      <c r="D12">
        <v>1</v>
      </c>
    </row>
    <row r="13" spans="1:4" hidden="1" x14ac:dyDescent="0.25">
      <c r="A13" s="12"/>
      <c r="B13" s="1" t="s">
        <v>38</v>
      </c>
      <c r="C13">
        <v>14</v>
      </c>
      <c r="D13">
        <v>9</v>
      </c>
    </row>
    <row r="14" spans="1:4" hidden="1" x14ac:dyDescent="0.25">
      <c r="A14" s="12" t="s">
        <v>3</v>
      </c>
      <c r="B14" s="1" t="s">
        <v>33</v>
      </c>
      <c r="C14">
        <v>14956</v>
      </c>
      <c r="D14">
        <v>11145</v>
      </c>
    </row>
    <row r="15" spans="1:4" x14ac:dyDescent="0.25">
      <c r="A15" s="12"/>
      <c r="B15" s="1" t="s">
        <v>34</v>
      </c>
      <c r="C15">
        <v>0.8058304359454399</v>
      </c>
      <c r="D15">
        <v>1.9798115746971741</v>
      </c>
    </row>
    <row r="16" spans="1:4" hidden="1" x14ac:dyDescent="0.25">
      <c r="A16" s="12"/>
      <c r="B16" s="1" t="s">
        <v>35</v>
      </c>
      <c r="C16">
        <v>1.3202669250290571</v>
      </c>
      <c r="D16">
        <v>1.592292815725495</v>
      </c>
    </row>
    <row r="17" spans="1:4" hidden="1" x14ac:dyDescent="0.25">
      <c r="A17" s="12"/>
      <c r="B17" s="1" t="s">
        <v>36</v>
      </c>
      <c r="C17">
        <v>0</v>
      </c>
      <c r="D17">
        <v>0</v>
      </c>
    </row>
    <row r="18" spans="1:4" hidden="1" x14ac:dyDescent="0.25">
      <c r="A18" s="12"/>
      <c r="B18" s="1" t="s">
        <v>37</v>
      </c>
      <c r="C18">
        <v>0</v>
      </c>
      <c r="D18">
        <v>1</v>
      </c>
    </row>
    <row r="19" spans="1:4" hidden="1" x14ac:dyDescent="0.25">
      <c r="A19" s="12"/>
      <c r="B19" s="1" t="s">
        <v>38</v>
      </c>
      <c r="C19">
        <v>15</v>
      </c>
      <c r="D19">
        <v>15</v>
      </c>
    </row>
    <row r="20" spans="1:4" hidden="1" x14ac:dyDescent="0.25">
      <c r="A20" s="12" t="s">
        <v>4</v>
      </c>
      <c r="B20" s="1" t="s">
        <v>33</v>
      </c>
      <c r="C20">
        <v>14956</v>
      </c>
      <c r="D20">
        <v>24431</v>
      </c>
    </row>
    <row r="21" spans="1:4" x14ac:dyDescent="0.25">
      <c r="A21" s="12"/>
      <c r="B21" s="1" t="s">
        <v>34</v>
      </c>
      <c r="C21">
        <v>1.81311848087724</v>
      </c>
      <c r="D21">
        <v>1.87732798493717</v>
      </c>
    </row>
    <row r="22" spans="1:4" hidden="1" x14ac:dyDescent="0.25">
      <c r="A22" s="12"/>
      <c r="B22" s="1" t="s">
        <v>35</v>
      </c>
      <c r="C22">
        <v>1.0386919916079149</v>
      </c>
      <c r="D22">
        <v>1.020930205389063</v>
      </c>
    </row>
    <row r="23" spans="1:4" hidden="1" x14ac:dyDescent="0.25">
      <c r="A23" s="12"/>
      <c r="B23" s="1" t="s">
        <v>36</v>
      </c>
      <c r="C23">
        <v>0</v>
      </c>
      <c r="D23">
        <v>0</v>
      </c>
    </row>
    <row r="24" spans="1:4" hidden="1" x14ac:dyDescent="0.25">
      <c r="A24" s="12"/>
      <c r="B24" s="1" t="s">
        <v>37</v>
      </c>
      <c r="C24">
        <v>2</v>
      </c>
      <c r="D24">
        <v>2</v>
      </c>
    </row>
    <row r="25" spans="1:4" hidden="1" x14ac:dyDescent="0.25">
      <c r="A25" s="12"/>
      <c r="B25" s="1" t="s">
        <v>38</v>
      </c>
      <c r="C25">
        <v>6</v>
      </c>
      <c r="D25">
        <v>6</v>
      </c>
    </row>
    <row r="26" spans="1:4" hidden="1" x14ac:dyDescent="0.25">
      <c r="A26" s="12" t="s">
        <v>5</v>
      </c>
      <c r="B26" s="1" t="s">
        <v>33</v>
      </c>
      <c r="C26">
        <v>14956</v>
      </c>
      <c r="D26">
        <v>24431</v>
      </c>
    </row>
    <row r="27" spans="1:4" x14ac:dyDescent="0.25">
      <c r="A27" s="12"/>
      <c r="B27" s="1" t="s">
        <v>34</v>
      </c>
      <c r="C27">
        <v>2.5552955335651242</v>
      </c>
      <c r="D27">
        <v>2.4837296876918669</v>
      </c>
    </row>
    <row r="28" spans="1:4" hidden="1" x14ac:dyDescent="0.25">
      <c r="A28" s="12"/>
      <c r="B28" s="1" t="s">
        <v>35</v>
      </c>
      <c r="C28">
        <v>2.340738175276845</v>
      </c>
      <c r="D28">
        <v>1.820644816015754</v>
      </c>
    </row>
    <row r="29" spans="1:4" hidden="1" x14ac:dyDescent="0.25">
      <c r="A29" s="12"/>
      <c r="B29" s="1" t="s">
        <v>36</v>
      </c>
      <c r="C29">
        <v>0</v>
      </c>
      <c r="D29">
        <v>0</v>
      </c>
    </row>
    <row r="30" spans="1:4" hidden="1" x14ac:dyDescent="0.25">
      <c r="A30" s="12"/>
      <c r="B30" s="1" t="s">
        <v>37</v>
      </c>
      <c r="C30">
        <v>2</v>
      </c>
      <c r="D30">
        <v>2</v>
      </c>
    </row>
    <row r="31" spans="1:4" hidden="1" x14ac:dyDescent="0.25">
      <c r="A31" s="12"/>
      <c r="B31" s="1" t="s">
        <v>38</v>
      </c>
      <c r="C31">
        <v>34</v>
      </c>
      <c r="D31">
        <v>34</v>
      </c>
    </row>
    <row r="32" spans="1:4" hidden="1" x14ac:dyDescent="0.25">
      <c r="A32" s="12" t="s">
        <v>6</v>
      </c>
      <c r="B32" s="1" t="s">
        <v>33</v>
      </c>
      <c r="C32">
        <v>14956</v>
      </c>
      <c r="D32">
        <v>24431</v>
      </c>
    </row>
    <row r="33" spans="1:4" x14ac:dyDescent="0.25">
      <c r="A33" s="12"/>
      <c r="B33" s="1" t="s">
        <v>34</v>
      </c>
      <c r="C33">
        <v>0.62516715699384862</v>
      </c>
      <c r="D33">
        <v>0.72412099381932793</v>
      </c>
    </row>
    <row r="34" spans="1:4" hidden="1" x14ac:dyDescent="0.25">
      <c r="A34" s="12"/>
      <c r="B34" s="1" t="s">
        <v>35</v>
      </c>
      <c r="C34">
        <v>1.2620714236162549</v>
      </c>
      <c r="D34">
        <v>1.318755033448477</v>
      </c>
    </row>
    <row r="35" spans="1:4" hidden="1" x14ac:dyDescent="0.25">
      <c r="A35" s="12"/>
      <c r="B35" s="1" t="s">
        <v>36</v>
      </c>
      <c r="C35">
        <v>0</v>
      </c>
      <c r="D35">
        <v>0</v>
      </c>
    </row>
    <row r="36" spans="1:4" hidden="1" x14ac:dyDescent="0.25">
      <c r="A36" s="12"/>
      <c r="B36" s="1" t="s">
        <v>37</v>
      </c>
      <c r="C36">
        <v>0</v>
      </c>
      <c r="D36">
        <v>0</v>
      </c>
    </row>
    <row r="37" spans="1:4" hidden="1" x14ac:dyDescent="0.25">
      <c r="A37" s="12"/>
      <c r="B37" s="1" t="s">
        <v>38</v>
      </c>
      <c r="C37">
        <v>36</v>
      </c>
      <c r="D37">
        <v>27</v>
      </c>
    </row>
    <row r="38" spans="1:4" hidden="1" x14ac:dyDescent="0.25">
      <c r="A38" s="12" t="s">
        <v>7</v>
      </c>
      <c r="B38" s="1" t="s">
        <v>33</v>
      </c>
      <c r="C38">
        <v>14956</v>
      </c>
      <c r="D38">
        <v>24431</v>
      </c>
    </row>
    <row r="39" spans="1:4" x14ac:dyDescent="0.25">
      <c r="A39" s="12"/>
      <c r="B39" s="1" t="s">
        <v>34</v>
      </c>
      <c r="C39">
        <v>1.033765712757422</v>
      </c>
      <c r="D39">
        <v>1.0042978183455451</v>
      </c>
    </row>
    <row r="40" spans="1:4" hidden="1" x14ac:dyDescent="0.25">
      <c r="A40" s="12"/>
      <c r="B40" s="1" t="s">
        <v>35</v>
      </c>
      <c r="C40">
        <v>1.147612418804894</v>
      </c>
      <c r="D40">
        <v>1.0203125043795529</v>
      </c>
    </row>
    <row r="41" spans="1:4" hidden="1" x14ac:dyDescent="0.25">
      <c r="A41" s="12"/>
      <c r="B41" s="1" t="s">
        <v>36</v>
      </c>
      <c r="C41">
        <v>0</v>
      </c>
      <c r="D41">
        <v>0</v>
      </c>
    </row>
    <row r="42" spans="1:4" hidden="1" x14ac:dyDescent="0.25">
      <c r="A42" s="12"/>
      <c r="B42" s="1" t="s">
        <v>37</v>
      </c>
      <c r="C42">
        <v>1</v>
      </c>
      <c r="D42">
        <v>1</v>
      </c>
    </row>
    <row r="43" spans="1:4" hidden="1" x14ac:dyDescent="0.25">
      <c r="A43" s="12"/>
      <c r="B43" s="1" t="s">
        <v>38</v>
      </c>
      <c r="C43">
        <v>13</v>
      </c>
      <c r="D43">
        <v>10</v>
      </c>
    </row>
    <row r="44" spans="1:4" hidden="1" x14ac:dyDescent="0.25">
      <c r="A44" s="12" t="s">
        <v>8</v>
      </c>
      <c r="B44" s="1" t="s">
        <v>33</v>
      </c>
      <c r="C44">
        <v>14956</v>
      </c>
      <c r="D44">
        <v>24431</v>
      </c>
    </row>
    <row r="45" spans="1:4" x14ac:dyDescent="0.25">
      <c r="A45" s="12"/>
      <c r="B45" s="1" t="s">
        <v>34</v>
      </c>
      <c r="C45">
        <v>0.1053089061246323</v>
      </c>
      <c r="D45">
        <v>0.13421472719086411</v>
      </c>
    </row>
    <row r="46" spans="1:4" hidden="1" x14ac:dyDescent="0.25">
      <c r="A46" s="12"/>
      <c r="B46" s="1" t="s">
        <v>35</v>
      </c>
      <c r="C46">
        <v>0.34258037811583758</v>
      </c>
      <c r="D46">
        <v>0.39371390494837682</v>
      </c>
    </row>
    <row r="47" spans="1:4" hidden="1" x14ac:dyDescent="0.25">
      <c r="A47" s="12"/>
      <c r="B47" s="1" t="s">
        <v>36</v>
      </c>
      <c r="C47">
        <v>0</v>
      </c>
      <c r="D47">
        <v>0</v>
      </c>
    </row>
    <row r="48" spans="1:4" hidden="1" x14ac:dyDescent="0.25">
      <c r="A48" s="12"/>
      <c r="B48" s="1" t="s">
        <v>37</v>
      </c>
      <c r="C48">
        <v>0</v>
      </c>
      <c r="D48">
        <v>0</v>
      </c>
    </row>
    <row r="49" spans="1:4" hidden="1" x14ac:dyDescent="0.25">
      <c r="A49" s="12"/>
      <c r="B49" s="1" t="s">
        <v>38</v>
      </c>
      <c r="C49">
        <v>4</v>
      </c>
      <c r="D49">
        <v>4</v>
      </c>
    </row>
    <row r="50" spans="1:4" hidden="1" x14ac:dyDescent="0.25">
      <c r="A50" s="12" t="s">
        <v>9</v>
      </c>
      <c r="B50" s="1" t="s">
        <v>33</v>
      </c>
      <c r="C50">
        <v>14956</v>
      </c>
      <c r="D50">
        <v>24431</v>
      </c>
    </row>
    <row r="51" spans="1:4" x14ac:dyDescent="0.25">
      <c r="A51" s="12"/>
      <c r="B51" s="1" t="s">
        <v>34</v>
      </c>
      <c r="C51">
        <v>1.504412944637604</v>
      </c>
      <c r="D51">
        <v>1.4680119520281609</v>
      </c>
    </row>
    <row r="52" spans="1:4" hidden="1" x14ac:dyDescent="0.25">
      <c r="A52" s="12"/>
      <c r="B52" s="1" t="s">
        <v>35</v>
      </c>
      <c r="C52">
        <v>1.727754609606539</v>
      </c>
      <c r="D52">
        <v>1.418645952353778</v>
      </c>
    </row>
    <row r="53" spans="1:4" hidden="1" x14ac:dyDescent="0.25">
      <c r="A53" s="12"/>
      <c r="B53" s="1" t="s">
        <v>36</v>
      </c>
      <c r="C53">
        <v>0</v>
      </c>
      <c r="D53">
        <v>0</v>
      </c>
    </row>
    <row r="54" spans="1:4" hidden="1" x14ac:dyDescent="0.25">
      <c r="A54" s="12"/>
      <c r="B54" s="1" t="s">
        <v>37</v>
      </c>
      <c r="C54">
        <v>1</v>
      </c>
      <c r="D54">
        <v>1</v>
      </c>
    </row>
    <row r="55" spans="1:4" hidden="1" x14ac:dyDescent="0.25">
      <c r="A55" s="12"/>
      <c r="B55" s="1" t="s">
        <v>38</v>
      </c>
      <c r="C55">
        <v>25</v>
      </c>
      <c r="D55">
        <v>34</v>
      </c>
    </row>
    <row r="56" spans="1:4" hidden="1" x14ac:dyDescent="0.25">
      <c r="A56" s="12" t="s">
        <v>10</v>
      </c>
      <c r="B56" s="1" t="s">
        <v>33</v>
      </c>
      <c r="C56">
        <v>14956</v>
      </c>
      <c r="D56">
        <v>24431</v>
      </c>
    </row>
    <row r="57" spans="1:4" x14ac:dyDescent="0.25">
      <c r="A57" s="12"/>
      <c r="B57" s="1" t="s">
        <v>34</v>
      </c>
      <c r="C57">
        <v>0.49418293661406792</v>
      </c>
      <c r="D57">
        <v>0.58233392001964712</v>
      </c>
    </row>
    <row r="58" spans="1:4" hidden="1" x14ac:dyDescent="0.25">
      <c r="A58" s="12"/>
      <c r="B58" s="1" t="s">
        <v>35</v>
      </c>
      <c r="C58">
        <v>1.1506541367963741</v>
      </c>
      <c r="D58">
        <v>1.158748872201613</v>
      </c>
    </row>
    <row r="59" spans="1:4" hidden="1" x14ac:dyDescent="0.25">
      <c r="A59" s="12"/>
      <c r="B59" s="1" t="s">
        <v>36</v>
      </c>
      <c r="C59">
        <v>0</v>
      </c>
      <c r="D59">
        <v>0</v>
      </c>
    </row>
    <row r="60" spans="1:4" hidden="1" x14ac:dyDescent="0.25">
      <c r="A60" s="12"/>
      <c r="B60" s="1" t="s">
        <v>37</v>
      </c>
      <c r="C60">
        <v>0</v>
      </c>
      <c r="D60">
        <v>0</v>
      </c>
    </row>
    <row r="61" spans="1:4" hidden="1" x14ac:dyDescent="0.25">
      <c r="A61" s="12"/>
      <c r="B61" s="1" t="s">
        <v>38</v>
      </c>
      <c r="C61">
        <v>36</v>
      </c>
      <c r="D61">
        <v>26</v>
      </c>
    </row>
    <row r="62" spans="1:4" hidden="1" x14ac:dyDescent="0.25">
      <c r="A62" s="12" t="s">
        <v>11</v>
      </c>
      <c r="B62" s="1" t="s">
        <v>33</v>
      </c>
      <c r="C62">
        <v>14956</v>
      </c>
      <c r="D62">
        <v>24431</v>
      </c>
    </row>
    <row r="63" spans="1:4" x14ac:dyDescent="0.25">
      <c r="A63" s="12"/>
      <c r="B63" s="1" t="s">
        <v>34</v>
      </c>
      <c r="C63">
        <v>2.375300882588927</v>
      </c>
      <c r="D63">
        <v>2.2429290655314968</v>
      </c>
    </row>
    <row r="64" spans="1:4" hidden="1" x14ac:dyDescent="0.25">
      <c r="A64" s="12"/>
      <c r="B64" s="1" t="s">
        <v>35</v>
      </c>
      <c r="C64">
        <v>2.339297475976899</v>
      </c>
      <c r="D64">
        <v>1.789303003769579</v>
      </c>
    </row>
    <row r="65" spans="1:4" hidden="1" x14ac:dyDescent="0.25">
      <c r="A65" s="12"/>
      <c r="B65" s="1" t="s">
        <v>36</v>
      </c>
      <c r="C65">
        <v>0</v>
      </c>
      <c r="D65">
        <v>0</v>
      </c>
    </row>
    <row r="66" spans="1:4" hidden="1" x14ac:dyDescent="0.25">
      <c r="A66" s="12"/>
      <c r="B66" s="1" t="s">
        <v>37</v>
      </c>
      <c r="C66">
        <v>2</v>
      </c>
      <c r="D66">
        <v>2</v>
      </c>
    </row>
    <row r="67" spans="1:4" hidden="1" x14ac:dyDescent="0.25">
      <c r="A67" s="12"/>
      <c r="B67" s="1" t="s">
        <v>38</v>
      </c>
      <c r="C67">
        <v>34</v>
      </c>
      <c r="D67">
        <v>34</v>
      </c>
    </row>
    <row r="68" spans="1:4" hidden="1" x14ac:dyDescent="0.25">
      <c r="A68" s="12" t="s">
        <v>12</v>
      </c>
      <c r="B68" s="1" t="s">
        <v>33</v>
      </c>
      <c r="C68">
        <v>14956</v>
      </c>
      <c r="D68">
        <v>24431</v>
      </c>
    </row>
    <row r="69" spans="1:4" x14ac:dyDescent="0.25">
      <c r="A69" s="12"/>
      <c r="B69" s="1" t="s">
        <v>34</v>
      </c>
      <c r="C69">
        <v>0.55208611928323081</v>
      </c>
      <c r="D69">
        <v>0.51929925095165974</v>
      </c>
    </row>
    <row r="70" spans="1:4" hidden="1" x14ac:dyDescent="0.25">
      <c r="A70" s="12"/>
      <c r="B70" s="1" t="s">
        <v>35</v>
      </c>
      <c r="C70">
        <v>0.88391491536499422</v>
      </c>
      <c r="D70">
        <v>0.79051505780594766</v>
      </c>
    </row>
    <row r="71" spans="1:4" hidden="1" x14ac:dyDescent="0.25">
      <c r="A71" s="12"/>
      <c r="B71" s="1" t="s">
        <v>36</v>
      </c>
      <c r="C71">
        <v>0</v>
      </c>
      <c r="D71">
        <v>0</v>
      </c>
    </row>
    <row r="72" spans="1:4" hidden="1" x14ac:dyDescent="0.25">
      <c r="A72" s="12"/>
      <c r="B72" s="1" t="s">
        <v>37</v>
      </c>
      <c r="C72">
        <v>0</v>
      </c>
      <c r="D72">
        <v>0</v>
      </c>
    </row>
    <row r="73" spans="1:4" hidden="1" x14ac:dyDescent="0.25">
      <c r="A73" s="12"/>
      <c r="B73" s="1" t="s">
        <v>38</v>
      </c>
      <c r="C73">
        <v>12</v>
      </c>
      <c r="D73">
        <v>7</v>
      </c>
    </row>
    <row r="74" spans="1:4" hidden="1" x14ac:dyDescent="0.25">
      <c r="A74" s="12" t="s">
        <v>13</v>
      </c>
      <c r="B74" s="1" t="s">
        <v>33</v>
      </c>
      <c r="C74">
        <v>14956</v>
      </c>
      <c r="D74">
        <v>24431</v>
      </c>
    </row>
    <row r="75" spans="1:4" x14ac:dyDescent="0.25">
      <c r="A75" s="12"/>
      <c r="B75" s="1" t="s">
        <v>34</v>
      </c>
      <c r="C75">
        <v>0.4814790050815726</v>
      </c>
      <c r="D75">
        <v>0.48475297777413939</v>
      </c>
    </row>
    <row r="76" spans="1:4" hidden="1" x14ac:dyDescent="0.25">
      <c r="A76" s="12"/>
      <c r="B76" s="1" t="s">
        <v>35</v>
      </c>
      <c r="C76">
        <v>0.61388534048383647</v>
      </c>
      <c r="D76">
        <v>0.58358184035924932</v>
      </c>
    </row>
    <row r="77" spans="1:4" hidden="1" x14ac:dyDescent="0.25">
      <c r="A77" s="12"/>
      <c r="B77" s="1" t="s">
        <v>36</v>
      </c>
      <c r="C77">
        <v>0</v>
      </c>
      <c r="D77">
        <v>0</v>
      </c>
    </row>
    <row r="78" spans="1:4" hidden="1" x14ac:dyDescent="0.25">
      <c r="A78" s="12"/>
      <c r="B78" s="1" t="s">
        <v>37</v>
      </c>
      <c r="C78">
        <v>0</v>
      </c>
      <c r="D78">
        <v>0</v>
      </c>
    </row>
    <row r="79" spans="1:4" hidden="1" x14ac:dyDescent="0.25">
      <c r="A79" s="12"/>
      <c r="B79" s="1" t="s">
        <v>38</v>
      </c>
      <c r="C79">
        <v>7</v>
      </c>
      <c r="D79">
        <v>5</v>
      </c>
    </row>
    <row r="80" spans="1:4" hidden="1" x14ac:dyDescent="0.25">
      <c r="A80" s="12" t="s">
        <v>14</v>
      </c>
      <c r="B80" s="1" t="s">
        <v>33</v>
      </c>
      <c r="C80">
        <v>14956</v>
      </c>
      <c r="D80">
        <v>24431</v>
      </c>
    </row>
    <row r="81" spans="1:4" x14ac:dyDescent="0.25">
      <c r="A81" s="12"/>
      <c r="B81" s="1" t="s">
        <v>34</v>
      </c>
      <c r="C81">
        <v>1.654720513506285</v>
      </c>
      <c r="D81">
        <v>2.8482665466006298</v>
      </c>
    </row>
    <row r="82" spans="1:4" hidden="1" x14ac:dyDescent="0.25">
      <c r="A82" s="12"/>
      <c r="B82" s="1" t="s">
        <v>35</v>
      </c>
      <c r="C82">
        <v>4.1286643591223653</v>
      </c>
      <c r="D82">
        <v>4.7604615781126096</v>
      </c>
    </row>
    <row r="83" spans="1:4" hidden="1" x14ac:dyDescent="0.25">
      <c r="A83" s="12"/>
      <c r="B83" s="1" t="s">
        <v>36</v>
      </c>
      <c r="C83">
        <v>0</v>
      </c>
      <c r="D83">
        <v>0</v>
      </c>
    </row>
    <row r="84" spans="1:4" hidden="1" x14ac:dyDescent="0.25">
      <c r="A84" s="12"/>
      <c r="B84" s="1" t="s">
        <v>37</v>
      </c>
      <c r="C84">
        <v>1</v>
      </c>
      <c r="D84">
        <v>2</v>
      </c>
    </row>
    <row r="85" spans="1:4" hidden="1" x14ac:dyDescent="0.25">
      <c r="A85" s="12"/>
      <c r="B85" s="1" t="s">
        <v>38</v>
      </c>
      <c r="C85">
        <v>98</v>
      </c>
      <c r="D85">
        <v>134</v>
      </c>
    </row>
    <row r="86" spans="1:4" hidden="1" x14ac:dyDescent="0.25">
      <c r="A86" s="12" t="s">
        <v>15</v>
      </c>
      <c r="B86" s="1" t="s">
        <v>33</v>
      </c>
      <c r="C86">
        <v>14956</v>
      </c>
      <c r="D86">
        <v>11145</v>
      </c>
    </row>
    <row r="87" spans="1:4" x14ac:dyDescent="0.25">
      <c r="A87" s="12"/>
      <c r="B87" s="1" t="s">
        <v>34</v>
      </c>
      <c r="C87">
        <v>1.046335918694838</v>
      </c>
      <c r="D87">
        <v>2.899596231493943</v>
      </c>
    </row>
    <row r="88" spans="1:4" hidden="1" x14ac:dyDescent="0.25">
      <c r="A88" s="12"/>
      <c r="B88" s="1" t="s">
        <v>35</v>
      </c>
      <c r="C88">
        <v>1.989657128004056</v>
      </c>
      <c r="D88">
        <v>3.286955774696386</v>
      </c>
    </row>
    <row r="89" spans="1:4" hidden="1" x14ac:dyDescent="0.25">
      <c r="A89" s="12"/>
      <c r="B89" s="1" t="s">
        <v>36</v>
      </c>
      <c r="C89">
        <v>0</v>
      </c>
      <c r="D89">
        <v>0</v>
      </c>
    </row>
    <row r="90" spans="1:4" hidden="1" x14ac:dyDescent="0.25">
      <c r="A90" s="12"/>
      <c r="B90" s="1" t="s">
        <v>37</v>
      </c>
      <c r="C90">
        <v>0</v>
      </c>
      <c r="D90">
        <v>2</v>
      </c>
    </row>
    <row r="91" spans="1:4" hidden="1" x14ac:dyDescent="0.25">
      <c r="A91" s="12"/>
      <c r="B91" s="1" t="s">
        <v>38</v>
      </c>
      <c r="C91">
        <v>39</v>
      </c>
      <c r="D91">
        <v>35</v>
      </c>
    </row>
    <row r="92" spans="1:4" hidden="1" x14ac:dyDescent="0.25">
      <c r="A92" s="12" t="s">
        <v>16</v>
      </c>
      <c r="B92" s="1" t="s">
        <v>33</v>
      </c>
      <c r="C92">
        <v>14956</v>
      </c>
      <c r="D92">
        <v>11145</v>
      </c>
    </row>
    <row r="93" spans="1:4" x14ac:dyDescent="0.25">
      <c r="A93" s="12"/>
      <c r="B93" s="1" t="s">
        <v>34</v>
      </c>
      <c r="C93">
        <v>0.240171168761701</v>
      </c>
      <c r="D93">
        <v>0.77918349035441903</v>
      </c>
    </row>
    <row r="94" spans="1:4" hidden="1" x14ac:dyDescent="0.25">
      <c r="A94" s="12"/>
      <c r="B94" s="1" t="s">
        <v>35</v>
      </c>
      <c r="C94">
        <v>0.69373203510442105</v>
      </c>
      <c r="D94">
        <v>1.331852398757031</v>
      </c>
    </row>
    <row r="95" spans="1:4" hidden="1" x14ac:dyDescent="0.25">
      <c r="A95" s="12"/>
      <c r="B95" s="1" t="s">
        <v>36</v>
      </c>
      <c r="C95">
        <v>0</v>
      </c>
      <c r="D95">
        <v>0</v>
      </c>
    </row>
    <row r="96" spans="1:4" hidden="1" x14ac:dyDescent="0.25">
      <c r="A96" s="12"/>
      <c r="B96" s="1" t="s">
        <v>37</v>
      </c>
      <c r="C96">
        <v>0</v>
      </c>
      <c r="D96">
        <v>0</v>
      </c>
    </row>
    <row r="97" spans="1:4" hidden="1" x14ac:dyDescent="0.25">
      <c r="A97" s="12"/>
      <c r="B97" s="1" t="s">
        <v>38</v>
      </c>
      <c r="C97">
        <v>13</v>
      </c>
      <c r="D97">
        <v>17</v>
      </c>
    </row>
    <row r="98" spans="1:4" hidden="1" x14ac:dyDescent="0.25">
      <c r="A98" s="12" t="s">
        <v>17</v>
      </c>
      <c r="B98" s="1" t="s">
        <v>33</v>
      </c>
      <c r="C98">
        <v>14956</v>
      </c>
      <c r="D98">
        <v>11145</v>
      </c>
    </row>
    <row r="99" spans="1:4" x14ac:dyDescent="0.25">
      <c r="A99" s="12"/>
      <c r="B99" s="1" t="s">
        <v>34</v>
      </c>
      <c r="C99">
        <v>0.48883391281091199</v>
      </c>
      <c r="D99">
        <v>1.568954688200987</v>
      </c>
    </row>
    <row r="100" spans="1:4" hidden="1" x14ac:dyDescent="0.25">
      <c r="A100" s="12"/>
      <c r="B100" s="1" t="s">
        <v>35</v>
      </c>
      <c r="C100">
        <v>1.144671643051921</v>
      </c>
      <c r="D100">
        <v>2.1676680663438468</v>
      </c>
    </row>
    <row r="101" spans="1:4" hidden="1" x14ac:dyDescent="0.25">
      <c r="A101" s="12"/>
      <c r="B101" s="1" t="s">
        <v>36</v>
      </c>
      <c r="C101">
        <v>0</v>
      </c>
      <c r="D101">
        <v>0</v>
      </c>
    </row>
    <row r="102" spans="1:4" hidden="1" x14ac:dyDescent="0.25">
      <c r="A102" s="12"/>
      <c r="B102" s="1" t="s">
        <v>37</v>
      </c>
      <c r="C102">
        <v>0</v>
      </c>
      <c r="D102">
        <v>1</v>
      </c>
    </row>
    <row r="103" spans="1:4" hidden="1" x14ac:dyDescent="0.25">
      <c r="A103" s="12"/>
      <c r="B103" s="1" t="s">
        <v>38</v>
      </c>
      <c r="C103">
        <v>21</v>
      </c>
      <c r="D103">
        <v>31</v>
      </c>
    </row>
    <row r="104" spans="1:4" hidden="1" x14ac:dyDescent="0.25">
      <c r="A104" s="12" t="s">
        <v>18</v>
      </c>
      <c r="B104" s="1" t="s">
        <v>33</v>
      </c>
      <c r="C104">
        <v>14956</v>
      </c>
      <c r="D104">
        <v>11145</v>
      </c>
    </row>
    <row r="105" spans="1:4" x14ac:dyDescent="0.25">
      <c r="A105" s="12"/>
      <c r="B105" s="1" t="s">
        <v>34</v>
      </c>
      <c r="C105">
        <v>0.75361059106713024</v>
      </c>
      <c r="D105">
        <v>2.357738896366083</v>
      </c>
    </row>
    <row r="106" spans="1:4" hidden="1" x14ac:dyDescent="0.25">
      <c r="A106" s="12"/>
      <c r="B106" s="1" t="s">
        <v>35</v>
      </c>
      <c r="C106">
        <v>1.5314611066677031</v>
      </c>
      <c r="D106">
        <v>2.880278870691694</v>
      </c>
    </row>
    <row r="107" spans="1:4" hidden="1" x14ac:dyDescent="0.25">
      <c r="A107" s="12"/>
      <c r="B107" s="1" t="s">
        <v>36</v>
      </c>
      <c r="C107">
        <v>0</v>
      </c>
      <c r="D107">
        <v>0</v>
      </c>
    </row>
    <row r="108" spans="1:4" hidden="1" x14ac:dyDescent="0.25">
      <c r="A108" s="12"/>
      <c r="B108" s="1" t="s">
        <v>37</v>
      </c>
      <c r="C108">
        <v>0</v>
      </c>
      <c r="D108">
        <v>1</v>
      </c>
    </row>
    <row r="109" spans="1:4" hidden="1" x14ac:dyDescent="0.25">
      <c r="A109" s="12"/>
      <c r="B109" s="1" t="s">
        <v>38</v>
      </c>
      <c r="C109">
        <v>30</v>
      </c>
      <c r="D109">
        <v>35</v>
      </c>
    </row>
    <row r="110" spans="1:4" hidden="1" x14ac:dyDescent="0.25">
      <c r="A110" s="12" t="s">
        <v>19</v>
      </c>
      <c r="B110" s="1" t="s">
        <v>33</v>
      </c>
      <c r="C110">
        <v>14956</v>
      </c>
      <c r="D110">
        <v>24431</v>
      </c>
    </row>
    <row r="111" spans="1:4" x14ac:dyDescent="0.25">
      <c r="A111" s="12"/>
      <c r="B111" s="1" t="s">
        <v>34</v>
      </c>
      <c r="C111">
        <v>4.2784166889542661</v>
      </c>
      <c r="D111">
        <v>5.410216528181409</v>
      </c>
    </row>
    <row r="112" spans="1:4" hidden="1" x14ac:dyDescent="0.25">
      <c r="A112" s="12"/>
      <c r="B112" s="1" t="s">
        <v>35</v>
      </c>
      <c r="C112">
        <v>5.5212829326900774</v>
      </c>
      <c r="D112">
        <v>5.7012354405596017</v>
      </c>
    </row>
    <row r="113" spans="1:4" hidden="1" x14ac:dyDescent="0.25">
      <c r="A113" s="12"/>
      <c r="B113" s="1" t="s">
        <v>36</v>
      </c>
      <c r="C113">
        <v>1</v>
      </c>
      <c r="D113">
        <v>1</v>
      </c>
    </row>
    <row r="114" spans="1:4" hidden="1" x14ac:dyDescent="0.25">
      <c r="A114" s="12"/>
      <c r="B114" s="1" t="s">
        <v>37</v>
      </c>
      <c r="C114">
        <v>3</v>
      </c>
      <c r="D114">
        <v>4</v>
      </c>
    </row>
    <row r="115" spans="1:4" hidden="1" x14ac:dyDescent="0.25">
      <c r="A115" s="12"/>
      <c r="B115" s="1" t="s">
        <v>38</v>
      </c>
      <c r="C115">
        <v>108</v>
      </c>
      <c r="D115">
        <v>142</v>
      </c>
    </row>
    <row r="116" spans="1:4" hidden="1" x14ac:dyDescent="0.25">
      <c r="A116" s="12" t="s">
        <v>20</v>
      </c>
      <c r="B116" s="1" t="s">
        <v>33</v>
      </c>
      <c r="C116">
        <v>14956</v>
      </c>
      <c r="D116">
        <v>24431</v>
      </c>
    </row>
    <row r="117" spans="1:4" x14ac:dyDescent="0.25">
      <c r="A117" s="12"/>
      <c r="B117" s="1" t="s">
        <v>34</v>
      </c>
      <c r="C117">
        <v>1.341334581438888</v>
      </c>
      <c r="D117">
        <v>1.3904465637919039</v>
      </c>
    </row>
    <row r="118" spans="1:4" hidden="1" x14ac:dyDescent="0.25">
      <c r="A118" s="12"/>
      <c r="B118" s="1" t="s">
        <v>35</v>
      </c>
      <c r="C118">
        <v>0.79097580596828632</v>
      </c>
      <c r="D118">
        <v>0.73133844708938878</v>
      </c>
    </row>
    <row r="119" spans="1:4" hidden="1" x14ac:dyDescent="0.25">
      <c r="A119" s="12"/>
      <c r="B119" s="1" t="s">
        <v>36</v>
      </c>
      <c r="C119">
        <v>-1</v>
      </c>
      <c r="D119">
        <v>-1</v>
      </c>
    </row>
    <row r="120" spans="1:4" hidden="1" x14ac:dyDescent="0.25">
      <c r="A120" s="12"/>
      <c r="B120" s="1" t="s">
        <v>37</v>
      </c>
      <c r="C120">
        <v>1</v>
      </c>
      <c r="D120">
        <v>1</v>
      </c>
    </row>
    <row r="121" spans="1:4" hidden="1" x14ac:dyDescent="0.25">
      <c r="A121" s="12"/>
      <c r="B121" s="1" t="s">
        <v>38</v>
      </c>
      <c r="C121">
        <v>7</v>
      </c>
      <c r="D121">
        <v>7</v>
      </c>
    </row>
    <row r="122" spans="1:4" hidden="1" x14ac:dyDescent="0.25">
      <c r="A122" s="12" t="s">
        <v>21</v>
      </c>
      <c r="B122" s="1" t="s">
        <v>33</v>
      </c>
      <c r="C122">
        <v>14956</v>
      </c>
      <c r="D122">
        <v>15869</v>
      </c>
    </row>
    <row r="123" spans="1:4" x14ac:dyDescent="0.25">
      <c r="A123" s="12"/>
      <c r="B123" s="1" t="s">
        <v>34</v>
      </c>
      <c r="C123">
        <v>110.7894490505483</v>
      </c>
      <c r="D123">
        <v>211.0317600352889</v>
      </c>
    </row>
    <row r="124" spans="1:4" hidden="1" x14ac:dyDescent="0.25">
      <c r="A124" s="12"/>
      <c r="B124" s="1" t="s">
        <v>35</v>
      </c>
      <c r="C124">
        <v>590.03736220519534</v>
      </c>
      <c r="D124">
        <v>865.83754038029338</v>
      </c>
    </row>
    <row r="125" spans="1:4" hidden="1" x14ac:dyDescent="0.25">
      <c r="A125" s="12"/>
      <c r="B125" s="1" t="s">
        <v>36</v>
      </c>
      <c r="C125">
        <v>0</v>
      </c>
      <c r="D125">
        <v>0</v>
      </c>
    </row>
    <row r="126" spans="1:4" hidden="1" x14ac:dyDescent="0.25">
      <c r="A126" s="12"/>
      <c r="B126" s="1" t="s">
        <v>37</v>
      </c>
      <c r="C126">
        <v>3</v>
      </c>
      <c r="D126">
        <v>20</v>
      </c>
    </row>
    <row r="127" spans="1:4" hidden="1" x14ac:dyDescent="0.25">
      <c r="A127" s="12"/>
      <c r="B127" s="1" t="s">
        <v>38</v>
      </c>
      <c r="C127">
        <v>23129</v>
      </c>
      <c r="D127">
        <v>48811</v>
      </c>
    </row>
    <row r="128" spans="1:4" hidden="1" x14ac:dyDescent="0.25">
      <c r="A128" s="12" t="s">
        <v>22</v>
      </c>
      <c r="B128" s="1" t="s">
        <v>33</v>
      </c>
      <c r="C128">
        <v>14956</v>
      </c>
      <c r="D128">
        <v>7822</v>
      </c>
    </row>
    <row r="129" spans="1:4" x14ac:dyDescent="0.25">
      <c r="A129" s="12"/>
      <c r="B129" s="1" t="s">
        <v>34</v>
      </c>
      <c r="C129">
        <v>1152.9679727199789</v>
      </c>
      <c r="D129">
        <v>2696.3113014574278</v>
      </c>
    </row>
    <row r="130" spans="1:4" hidden="1" x14ac:dyDescent="0.25">
      <c r="A130" s="12"/>
      <c r="B130" s="1" t="s">
        <v>35</v>
      </c>
      <c r="C130">
        <v>4165.6327668621561</v>
      </c>
      <c r="D130">
        <v>6184.0730998845438</v>
      </c>
    </row>
    <row r="131" spans="1:4" hidden="1" x14ac:dyDescent="0.25">
      <c r="A131" s="12"/>
      <c r="B131" s="1" t="s">
        <v>36</v>
      </c>
      <c r="C131">
        <v>0</v>
      </c>
      <c r="D131">
        <v>0</v>
      </c>
    </row>
    <row r="132" spans="1:4" hidden="1" x14ac:dyDescent="0.25">
      <c r="A132" s="12"/>
      <c r="B132" s="1" t="s">
        <v>37</v>
      </c>
      <c r="C132">
        <v>0</v>
      </c>
      <c r="D132">
        <v>1042.5</v>
      </c>
    </row>
    <row r="133" spans="1:4" hidden="1" x14ac:dyDescent="0.25">
      <c r="A133" s="12"/>
      <c r="B133" s="1" t="s">
        <v>38</v>
      </c>
      <c r="C133">
        <v>154745</v>
      </c>
      <c r="D133">
        <v>230148</v>
      </c>
    </row>
    <row r="134" spans="1:4" hidden="1" x14ac:dyDescent="0.25">
      <c r="A134" s="12" t="s">
        <v>23</v>
      </c>
      <c r="B134" s="1" t="s">
        <v>33</v>
      </c>
      <c r="C134">
        <v>14956</v>
      </c>
      <c r="D134">
        <v>13227</v>
      </c>
    </row>
    <row r="135" spans="1:4" x14ac:dyDescent="0.25">
      <c r="A135" s="12"/>
      <c r="B135" s="1" t="s">
        <v>34</v>
      </c>
      <c r="C135">
        <v>2688.0245386466968</v>
      </c>
      <c r="D135">
        <v>3719.551145384441</v>
      </c>
    </row>
    <row r="136" spans="1:4" hidden="1" x14ac:dyDescent="0.25">
      <c r="A136" s="12"/>
      <c r="B136" s="1" t="s">
        <v>35</v>
      </c>
      <c r="C136">
        <v>9265.1817000028932</v>
      </c>
      <c r="D136">
        <v>11197.849787245579</v>
      </c>
    </row>
    <row r="137" spans="1:4" hidden="1" x14ac:dyDescent="0.25">
      <c r="A137" s="12"/>
      <c r="B137" s="1" t="s">
        <v>36</v>
      </c>
      <c r="C137">
        <v>0</v>
      </c>
      <c r="D137">
        <v>0</v>
      </c>
    </row>
    <row r="138" spans="1:4" hidden="1" x14ac:dyDescent="0.25">
      <c r="A138" s="12"/>
      <c r="B138" s="1" t="s">
        <v>37</v>
      </c>
      <c r="C138">
        <v>0</v>
      </c>
      <c r="D138">
        <v>975</v>
      </c>
    </row>
    <row r="139" spans="1:4" hidden="1" x14ac:dyDescent="0.25">
      <c r="A139" s="12"/>
      <c r="B139" s="1" t="s">
        <v>38</v>
      </c>
      <c r="C139">
        <v>366122</v>
      </c>
      <c r="D139">
        <v>359000</v>
      </c>
    </row>
    <row r="140" spans="1:4" hidden="1" x14ac:dyDescent="0.25">
      <c r="A140" s="12" t="s">
        <v>24</v>
      </c>
      <c r="B140" s="1" t="s">
        <v>33</v>
      </c>
      <c r="C140">
        <v>14956</v>
      </c>
      <c r="D140">
        <v>8485</v>
      </c>
    </row>
    <row r="141" spans="1:4" x14ac:dyDescent="0.25">
      <c r="A141" s="12"/>
      <c r="B141" s="1" t="s">
        <v>34</v>
      </c>
      <c r="C141">
        <v>1508.5801684942501</v>
      </c>
      <c r="D141">
        <v>3181.5235120801408</v>
      </c>
    </row>
    <row r="142" spans="1:4" hidden="1" x14ac:dyDescent="0.25">
      <c r="A142" s="12"/>
      <c r="B142" s="1" t="s">
        <v>35</v>
      </c>
      <c r="C142">
        <v>6972.5064617972648</v>
      </c>
      <c r="D142">
        <v>9381.3245067406733</v>
      </c>
    </row>
    <row r="143" spans="1:4" hidden="1" x14ac:dyDescent="0.25">
      <c r="A143" s="12"/>
      <c r="B143" s="1" t="s">
        <v>36</v>
      </c>
      <c r="C143">
        <v>0</v>
      </c>
      <c r="D143">
        <v>0</v>
      </c>
    </row>
    <row r="144" spans="1:4" hidden="1" x14ac:dyDescent="0.25">
      <c r="A144" s="12"/>
      <c r="B144" s="1" t="s">
        <v>37</v>
      </c>
      <c r="C144">
        <v>0</v>
      </c>
      <c r="D144">
        <v>500</v>
      </c>
    </row>
    <row r="145" spans="1:4" hidden="1" x14ac:dyDescent="0.25">
      <c r="A145" s="12"/>
      <c r="B145" s="1" t="s">
        <v>38</v>
      </c>
      <c r="C145">
        <v>255473</v>
      </c>
      <c r="D145">
        <v>247082</v>
      </c>
    </row>
    <row r="146" spans="1:4" hidden="1" x14ac:dyDescent="0.25">
      <c r="A146" s="12" t="s">
        <v>25</v>
      </c>
      <c r="B146" s="1" t="s">
        <v>33</v>
      </c>
      <c r="C146">
        <v>14956</v>
      </c>
      <c r="D146">
        <v>15949</v>
      </c>
    </row>
    <row r="147" spans="1:4" x14ac:dyDescent="0.25">
      <c r="A147" s="12"/>
      <c r="B147" s="1" t="s">
        <v>34</v>
      </c>
      <c r="C147">
        <v>4894.6666889542657</v>
      </c>
      <c r="D147">
        <v>7119.6304470499717</v>
      </c>
    </row>
    <row r="148" spans="1:4" hidden="1" x14ac:dyDescent="0.25">
      <c r="A148" s="12"/>
      <c r="B148" s="1" t="s">
        <v>35</v>
      </c>
      <c r="C148">
        <v>11658.759854346439</v>
      </c>
      <c r="D148">
        <v>15365.052474536589</v>
      </c>
    </row>
    <row r="149" spans="1:4" hidden="1" x14ac:dyDescent="0.25">
      <c r="A149" s="12"/>
      <c r="B149" s="1" t="s">
        <v>36</v>
      </c>
      <c r="C149">
        <v>0</v>
      </c>
      <c r="D149">
        <v>0</v>
      </c>
    </row>
    <row r="150" spans="1:4" hidden="1" x14ac:dyDescent="0.25">
      <c r="A150" s="12"/>
      <c r="B150" s="1" t="s">
        <v>37</v>
      </c>
      <c r="C150">
        <v>1400</v>
      </c>
      <c r="D150">
        <v>3000</v>
      </c>
    </row>
    <row r="151" spans="1:4" hidden="1" x14ac:dyDescent="0.25">
      <c r="A151" s="12"/>
      <c r="B151" s="1" t="s">
        <v>38</v>
      </c>
      <c r="C151">
        <v>377600</v>
      </c>
      <c r="D151">
        <v>576796</v>
      </c>
    </row>
    <row r="152" spans="1:4" hidden="1" x14ac:dyDescent="0.25">
      <c r="A152" s="12" t="s">
        <v>26</v>
      </c>
      <c r="B152" s="1" t="s">
        <v>33</v>
      </c>
      <c r="C152">
        <v>14956</v>
      </c>
      <c r="D152">
        <v>9325</v>
      </c>
    </row>
    <row r="153" spans="1:4" x14ac:dyDescent="0.25">
      <c r="A153" s="12"/>
      <c r="B153" s="1" t="s">
        <v>34</v>
      </c>
      <c r="C153">
        <v>2379.4176918962289</v>
      </c>
      <c r="D153">
        <v>6684.1956032171584</v>
      </c>
    </row>
    <row r="154" spans="1:4" hidden="1" x14ac:dyDescent="0.25">
      <c r="A154" s="12"/>
      <c r="B154" s="1" t="s">
        <v>35</v>
      </c>
      <c r="C154">
        <v>6640.0041508331278</v>
      </c>
      <c r="D154">
        <v>11219.46161413787</v>
      </c>
    </row>
    <row r="155" spans="1:4" hidden="1" x14ac:dyDescent="0.25">
      <c r="A155" s="12"/>
      <c r="B155" s="1" t="s">
        <v>36</v>
      </c>
      <c r="C155">
        <v>0</v>
      </c>
      <c r="D155">
        <v>1</v>
      </c>
    </row>
    <row r="156" spans="1:4" hidden="1" x14ac:dyDescent="0.25">
      <c r="A156" s="12"/>
      <c r="B156" s="1" t="s">
        <v>37</v>
      </c>
      <c r="C156">
        <v>0</v>
      </c>
      <c r="D156">
        <v>3400</v>
      </c>
    </row>
    <row r="157" spans="1:4" hidden="1" x14ac:dyDescent="0.25">
      <c r="A157" s="12"/>
      <c r="B157" s="1" t="s">
        <v>38</v>
      </c>
      <c r="C157">
        <v>175000</v>
      </c>
      <c r="D157">
        <v>278000</v>
      </c>
    </row>
    <row r="158" spans="1:4" hidden="1" x14ac:dyDescent="0.25">
      <c r="A158" s="12" t="s">
        <v>27</v>
      </c>
      <c r="B158" s="1" t="s">
        <v>33</v>
      </c>
      <c r="C158">
        <v>14956</v>
      </c>
      <c r="D158">
        <v>10822</v>
      </c>
    </row>
    <row r="159" spans="1:4" x14ac:dyDescent="0.25">
      <c r="A159" s="12"/>
      <c r="B159" s="1" t="s">
        <v>34</v>
      </c>
      <c r="C159">
        <v>2487.925916020326</v>
      </c>
      <c r="D159">
        <v>4564.8824616521897</v>
      </c>
    </row>
    <row r="160" spans="1:4" hidden="1" x14ac:dyDescent="0.25">
      <c r="A160" s="12"/>
      <c r="B160" s="1" t="s">
        <v>35</v>
      </c>
      <c r="C160">
        <v>7891.1333878577007</v>
      </c>
      <c r="D160">
        <v>10220.84715189509</v>
      </c>
    </row>
    <row r="161" spans="1:4" hidden="1" x14ac:dyDescent="0.25">
      <c r="A161" s="12"/>
      <c r="B161" s="1" t="s">
        <v>36</v>
      </c>
      <c r="C161">
        <v>0</v>
      </c>
      <c r="D161">
        <v>0</v>
      </c>
    </row>
    <row r="162" spans="1:4" hidden="1" x14ac:dyDescent="0.25">
      <c r="A162" s="12"/>
      <c r="B162" s="1" t="s">
        <v>37</v>
      </c>
      <c r="C162">
        <v>0</v>
      </c>
      <c r="D162">
        <v>1500</v>
      </c>
    </row>
    <row r="163" spans="1:4" hidden="1" x14ac:dyDescent="0.25">
      <c r="A163" s="12"/>
      <c r="B163" s="1" t="s">
        <v>38</v>
      </c>
      <c r="C163">
        <v>260000</v>
      </c>
      <c r="D163">
        <v>352000</v>
      </c>
    </row>
    <row r="164" spans="1:4" hidden="1" x14ac:dyDescent="0.25">
      <c r="A164" s="12" t="s">
        <v>28</v>
      </c>
      <c r="B164" s="1" t="s">
        <v>33</v>
      </c>
      <c r="C164">
        <v>14956</v>
      </c>
      <c r="D164">
        <v>7822</v>
      </c>
    </row>
    <row r="165" spans="1:4" x14ac:dyDescent="0.25">
      <c r="A165" s="12"/>
      <c r="B165" s="1" t="s">
        <v>34</v>
      </c>
      <c r="C165">
        <v>370.36132655790323</v>
      </c>
      <c r="D165">
        <v>542.71401176169775</v>
      </c>
    </row>
    <row r="166" spans="1:4" hidden="1" x14ac:dyDescent="0.25">
      <c r="A166" s="12"/>
      <c r="B166" s="1" t="s">
        <v>35</v>
      </c>
      <c r="C166">
        <v>2263.0982008652868</v>
      </c>
      <c r="D166">
        <v>3389.9132952022792</v>
      </c>
    </row>
    <row r="167" spans="1:4" hidden="1" x14ac:dyDescent="0.25">
      <c r="A167" s="12"/>
      <c r="B167" s="1" t="s">
        <v>36</v>
      </c>
      <c r="C167">
        <v>0</v>
      </c>
      <c r="D167">
        <v>0</v>
      </c>
    </row>
    <row r="168" spans="1:4" hidden="1" x14ac:dyDescent="0.25">
      <c r="A168" s="12"/>
      <c r="B168" s="1" t="s">
        <v>37</v>
      </c>
      <c r="C168">
        <v>0</v>
      </c>
      <c r="D168">
        <v>0</v>
      </c>
    </row>
    <row r="169" spans="1:4" hidden="1" x14ac:dyDescent="0.25">
      <c r="A169" s="12"/>
      <c r="B169" s="1" t="s">
        <v>38</v>
      </c>
      <c r="C169">
        <v>80179</v>
      </c>
      <c r="D169">
        <v>167108</v>
      </c>
    </row>
    <row r="170" spans="1:4" hidden="1" x14ac:dyDescent="0.25">
      <c r="A170" s="12" t="s">
        <v>29</v>
      </c>
      <c r="B170" s="1" t="s">
        <v>33</v>
      </c>
      <c r="C170">
        <v>14956</v>
      </c>
      <c r="D170">
        <v>13227</v>
      </c>
    </row>
    <row r="171" spans="1:4" x14ac:dyDescent="0.25">
      <c r="A171" s="12"/>
      <c r="B171" s="1" t="s">
        <v>34</v>
      </c>
      <c r="C171">
        <v>849.14656325220642</v>
      </c>
      <c r="D171">
        <v>691.51198306494291</v>
      </c>
    </row>
    <row r="172" spans="1:4" hidden="1" x14ac:dyDescent="0.25">
      <c r="A172" s="12"/>
      <c r="B172" s="1" t="s">
        <v>35</v>
      </c>
      <c r="C172">
        <v>5573.2490141421522</v>
      </c>
      <c r="D172">
        <v>5192.4295944689138</v>
      </c>
    </row>
    <row r="173" spans="1:4" hidden="1" x14ac:dyDescent="0.25">
      <c r="A173" s="12"/>
      <c r="B173" s="1" t="s">
        <v>36</v>
      </c>
      <c r="C173">
        <v>0</v>
      </c>
      <c r="D173">
        <v>0</v>
      </c>
    </row>
    <row r="174" spans="1:4" hidden="1" x14ac:dyDescent="0.25">
      <c r="A174" s="12"/>
      <c r="B174" s="1" t="s">
        <v>37</v>
      </c>
      <c r="C174">
        <v>0</v>
      </c>
      <c r="D174">
        <v>0</v>
      </c>
    </row>
    <row r="175" spans="1:4" hidden="1" x14ac:dyDescent="0.25">
      <c r="A175" s="12"/>
      <c r="B175" s="1" t="s">
        <v>38</v>
      </c>
      <c r="C175">
        <v>177815</v>
      </c>
      <c r="D175">
        <v>247082</v>
      </c>
    </row>
    <row r="176" spans="1:4" hidden="1" x14ac:dyDescent="0.25">
      <c r="A176" s="12" t="s">
        <v>30</v>
      </c>
      <c r="B176" s="1" t="s">
        <v>33</v>
      </c>
      <c r="C176">
        <v>14956</v>
      </c>
      <c r="D176">
        <v>24431</v>
      </c>
    </row>
    <row r="177" spans="1:4" x14ac:dyDescent="0.25">
      <c r="A177" s="12"/>
      <c r="B177" s="1" t="s">
        <v>34</v>
      </c>
      <c r="C177">
        <v>0.33611928323081042</v>
      </c>
      <c r="D177">
        <v>0.81187835127501939</v>
      </c>
    </row>
    <row r="178" spans="1:4" hidden="1" x14ac:dyDescent="0.25">
      <c r="A178" s="12"/>
      <c r="B178" s="1" t="s">
        <v>35</v>
      </c>
      <c r="C178">
        <v>0.47239605379544142</v>
      </c>
      <c r="D178">
        <v>0.75194910880817767</v>
      </c>
    </row>
    <row r="179" spans="1:4" hidden="1" x14ac:dyDescent="0.25">
      <c r="A179" s="12"/>
      <c r="B179" s="1" t="s">
        <v>36</v>
      </c>
      <c r="C179">
        <v>0</v>
      </c>
      <c r="D179">
        <v>0</v>
      </c>
    </row>
    <row r="180" spans="1:4" hidden="1" x14ac:dyDescent="0.25">
      <c r="A180" s="12"/>
      <c r="B180" s="1" t="s">
        <v>37</v>
      </c>
      <c r="C180">
        <v>0</v>
      </c>
      <c r="D180">
        <v>1</v>
      </c>
    </row>
    <row r="181" spans="1:4" hidden="1" x14ac:dyDescent="0.25">
      <c r="A181" s="12"/>
      <c r="B181" s="1" t="s">
        <v>38</v>
      </c>
      <c r="C181">
        <v>1</v>
      </c>
      <c r="D181">
        <v>2</v>
      </c>
    </row>
    <row r="182" spans="1:4" hidden="1" x14ac:dyDescent="0.25">
      <c r="A182" s="12" t="s">
        <v>31</v>
      </c>
      <c r="B182" s="1" t="s">
        <v>33</v>
      </c>
      <c r="D182">
        <v>24431</v>
      </c>
    </row>
    <row r="183" spans="1:4" x14ac:dyDescent="0.25">
      <c r="A183" s="12"/>
      <c r="B183" s="1" t="s">
        <v>34</v>
      </c>
      <c r="D183">
        <v>173014.80692562729</v>
      </c>
    </row>
    <row r="184" spans="1:4" hidden="1" x14ac:dyDescent="0.25">
      <c r="A184" s="12"/>
      <c r="B184" s="1" t="s">
        <v>35</v>
      </c>
      <c r="D184">
        <v>93125.279967089285</v>
      </c>
    </row>
    <row r="185" spans="1:4" hidden="1" x14ac:dyDescent="0.25">
      <c r="A185" s="12"/>
      <c r="B185" s="1" t="s">
        <v>36</v>
      </c>
      <c r="D185">
        <v>20101</v>
      </c>
    </row>
    <row r="186" spans="1:4" hidden="1" x14ac:dyDescent="0.25">
      <c r="A186" s="12"/>
      <c r="B186" s="1" t="s">
        <v>37</v>
      </c>
      <c r="D186">
        <v>146501</v>
      </c>
    </row>
    <row r="187" spans="1:4" hidden="1" x14ac:dyDescent="0.25">
      <c r="A187" s="12"/>
      <c r="B187" s="1" t="s">
        <v>38</v>
      </c>
      <c r="D187">
        <v>326301</v>
      </c>
    </row>
    <row r="188" spans="1:4" hidden="1" x14ac:dyDescent="0.25">
      <c r="A188" s="12" t="s">
        <v>32</v>
      </c>
      <c r="B188" s="1" t="s">
        <v>33</v>
      </c>
      <c r="D188">
        <v>24431</v>
      </c>
    </row>
    <row r="189" spans="1:4" x14ac:dyDescent="0.25">
      <c r="A189" s="12"/>
      <c r="B189" s="1" t="s">
        <v>34</v>
      </c>
      <c r="D189">
        <v>46.893700626253533</v>
      </c>
    </row>
    <row r="190" spans="1:4" hidden="1" x14ac:dyDescent="0.25">
      <c r="A190" s="12"/>
      <c r="B190" s="1" t="s">
        <v>35</v>
      </c>
      <c r="D190">
        <v>15.823373929938681</v>
      </c>
    </row>
    <row r="191" spans="1:4" hidden="1" x14ac:dyDescent="0.25">
      <c r="A191" s="12"/>
      <c r="B191" s="1" t="s">
        <v>36</v>
      </c>
      <c r="D191">
        <v>18</v>
      </c>
    </row>
    <row r="192" spans="1:4" hidden="1" x14ac:dyDescent="0.25">
      <c r="A192" s="12"/>
      <c r="B192" s="1" t="s">
        <v>37</v>
      </c>
      <c r="D192">
        <v>44</v>
      </c>
    </row>
    <row r="193" spans="1:4" hidden="1" x14ac:dyDescent="0.25">
      <c r="A193" s="12"/>
      <c r="B193" s="1" t="s">
        <v>38</v>
      </c>
      <c r="D193">
        <v>110</v>
      </c>
    </row>
  </sheetData>
  <autoFilter ref="A1:D193" xr:uid="{00000000-0001-0000-0000-000000000000}">
    <filterColumn colId="1">
      <filters>
        <filter val="mean"/>
      </filters>
    </filterColumn>
  </autoFilter>
  <mergeCells count="32">
    <mergeCell ref="A2:A7"/>
    <mergeCell ref="A8:A13"/>
    <mergeCell ref="A14:A19"/>
    <mergeCell ref="A20:A25"/>
    <mergeCell ref="A26:A31"/>
    <mergeCell ref="A32:A37"/>
    <mergeCell ref="A38:A43"/>
    <mergeCell ref="A44:A49"/>
    <mergeCell ref="A50:A55"/>
    <mergeCell ref="A56:A61"/>
    <mergeCell ref="A62:A67"/>
    <mergeCell ref="A68:A73"/>
    <mergeCell ref="A74:A79"/>
    <mergeCell ref="A80:A85"/>
    <mergeCell ref="A86:A91"/>
    <mergeCell ref="A92:A97"/>
    <mergeCell ref="A98:A103"/>
    <mergeCell ref="A104:A109"/>
    <mergeCell ref="A110:A115"/>
    <mergeCell ref="A116:A121"/>
    <mergeCell ref="A122:A127"/>
    <mergeCell ref="A128:A133"/>
    <mergeCell ref="A134:A139"/>
    <mergeCell ref="A140:A145"/>
    <mergeCell ref="A146:A151"/>
    <mergeCell ref="A182:A187"/>
    <mergeCell ref="A188:A193"/>
    <mergeCell ref="A152:A157"/>
    <mergeCell ref="A158:A163"/>
    <mergeCell ref="A164:A169"/>
    <mergeCell ref="A170:A175"/>
    <mergeCell ref="A176:A18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1F129-2ED7-48F4-81D1-23B307EB2F17}">
  <dimension ref="A1:D6"/>
  <sheetViews>
    <sheetView zoomScale="235" zoomScaleNormal="235" workbookViewId="0">
      <selection activeCell="A12" sqref="A12"/>
    </sheetView>
  </sheetViews>
  <sheetFormatPr defaultRowHeight="15" x14ac:dyDescent="0.25"/>
  <cols>
    <col min="1" max="1" width="16.7109375" style="2" bestFit="1" customWidth="1"/>
    <col min="4" max="4" width="9.28515625" style="2" customWidth="1"/>
  </cols>
  <sheetData>
    <row r="1" spans="1:4" x14ac:dyDescent="0.25">
      <c r="A1" s="4" t="s">
        <v>0</v>
      </c>
      <c r="B1" s="5" t="s">
        <v>30</v>
      </c>
      <c r="C1" s="5" t="s">
        <v>33</v>
      </c>
      <c r="D1" s="3" t="s">
        <v>42</v>
      </c>
    </row>
    <row r="2" spans="1:4" x14ac:dyDescent="0.25">
      <c r="A2" s="13" t="s">
        <v>41</v>
      </c>
      <c r="B2" s="6">
        <v>0</v>
      </c>
      <c r="C2" s="6">
        <v>9929</v>
      </c>
      <c r="D2" s="7">
        <f>C2/(C2+C3)</f>
        <v>0.66388071676918958</v>
      </c>
    </row>
    <row r="3" spans="1:4" x14ac:dyDescent="0.25">
      <c r="A3" s="14"/>
      <c r="B3" s="8">
        <v>1</v>
      </c>
      <c r="C3" s="8">
        <v>5027</v>
      </c>
      <c r="D3" s="9">
        <f>C3/(C3+C2)</f>
        <v>0.33611928323081036</v>
      </c>
    </row>
    <row r="4" spans="1:4" x14ac:dyDescent="0.25">
      <c r="A4" s="13" t="s">
        <v>43</v>
      </c>
      <c r="B4" s="6">
        <v>0</v>
      </c>
      <c r="C4" s="6">
        <v>9637</v>
      </c>
      <c r="D4" s="7">
        <f>C4/(SUM($C$4:$C$6))</f>
        <v>0.39445786091441204</v>
      </c>
    </row>
    <row r="5" spans="1:4" x14ac:dyDescent="0.25">
      <c r="A5" s="15"/>
      <c r="B5" s="8">
        <v>1</v>
      </c>
      <c r="C5" s="8">
        <v>9753</v>
      </c>
      <c r="D5" s="9">
        <f>C5/(SUM($C$4:$C$6))</f>
        <v>0.39920592689615653</v>
      </c>
    </row>
    <row r="6" spans="1:4" x14ac:dyDescent="0.25">
      <c r="A6" s="14"/>
      <c r="B6" s="10">
        <v>2</v>
      </c>
      <c r="C6" s="10">
        <v>5041</v>
      </c>
      <c r="D6" s="11">
        <f>C6/(SUM($C$4:$C$6))</f>
        <v>0.20633621218943146</v>
      </c>
    </row>
  </sheetData>
  <mergeCells count="2">
    <mergeCell ref="A2:A3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 W</cp:lastModifiedBy>
  <dcterms:created xsi:type="dcterms:W3CDTF">2025-06-07T22:18:37Z</dcterms:created>
  <dcterms:modified xsi:type="dcterms:W3CDTF">2025-06-12T18:23:42Z</dcterms:modified>
</cp:coreProperties>
</file>